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 de Leads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b val="1"/>
      <color rgb="000055FE"/>
      <sz val="16"/>
    </font>
    <font>
      <i val="1"/>
      <color rgb="005A6472"/>
      <sz val="10"/>
    </font>
    <font>
      <color rgb="005A6472"/>
      <sz val="8"/>
    </font>
    <font>
      <name val="Calibri"/>
      <b val="1"/>
      <color rgb="00FFFFFF"/>
      <sz val="10"/>
    </font>
    <font>
      <b val="1"/>
      <sz val="10"/>
    </font>
    <font>
      <i val="1"/>
      <color rgb="000055FE"/>
      <sz val="10"/>
    </font>
  </fonts>
  <fills count="3">
    <fill>
      <patternFill/>
    </fill>
    <fill>
      <patternFill patternType="gray125"/>
    </fill>
    <fill>
      <patternFill patternType="solid">
        <fgColor rgb="000055FE"/>
      </patternFill>
    </fill>
  </fills>
  <borders count="2">
    <border>
      <left/>
      <right/>
      <top/>
      <bottom/>
      <diagonal/>
    </border>
    <border>
      <bottom style="thin">
        <color rgb="00BEC8D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5" fillId="0" borderId="0" pivotButton="0" quotePrefix="0" xfId="0"/>
    <xf numFmtId="164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16" customWidth="1" min="4" max="4"/>
    <col width="22" customWidth="1" min="5" max="5"/>
    <col width="18" customWidth="1" min="6" max="6"/>
    <col width="22" customWidth="1" min="7" max="7"/>
    <col width="16" customWidth="1" min="8" max="8"/>
    <col width="14" customWidth="1" min="9" max="9"/>
    <col width="12" customWidth="1" min="10" max="10"/>
    <col width="16" customWidth="1" min="11" max="11"/>
    <col width="30" customWidth="1" min="12" max="12"/>
  </cols>
  <sheetData>
    <row r="1">
      <c r="A1" s="1" t="inlineStr">
        <is>
          <t>Planilha de Atendimento e Follow-up</t>
        </is>
      </c>
    </row>
    <row r="2">
      <c r="A2" s="2" t="inlineStr">
        <is>
          <t>Controle de leads da clínica — do primeiro contato ao paciente fechado</t>
        </is>
      </c>
    </row>
    <row r="3">
      <c r="A3" s="3" t="inlineStr">
        <is>
          <t>SaudeCRM — CRM com WhatsApp para clínicas · lp.saudecrm.com</t>
        </is>
      </c>
    </row>
    <row r="5">
      <c r="A5" s="4" t="inlineStr">
        <is>
          <t>Data do contato</t>
        </is>
      </c>
      <c r="B5" s="4" t="inlineStr">
        <is>
          <t>Nome do lead</t>
        </is>
      </c>
      <c r="C5" s="4" t="inlineStr">
        <is>
          <t>Telefone/WhatsApp</t>
        </is>
      </c>
      <c r="D5" s="4" t="inlineStr">
        <is>
          <t>Canal de origem</t>
        </is>
      </c>
      <c r="E5" s="4" t="inlineStr">
        <is>
          <t>Procedimento de interesse</t>
        </is>
      </c>
      <c r="F5" s="4" t="inlineStr">
        <is>
          <t>Etapa</t>
        </is>
      </c>
      <c r="G5" s="4" t="inlineStr">
        <is>
          <t>Próxima ação</t>
        </is>
      </c>
      <c r="H5" s="4" t="inlineStr">
        <is>
          <t>Data do follow-up</t>
        </is>
      </c>
      <c r="I5" s="4" t="inlineStr">
        <is>
          <t>Responsável</t>
        </is>
      </c>
      <c r="J5" s="4" t="inlineStr">
        <is>
          <t>Status</t>
        </is>
      </c>
      <c r="K5" s="4" t="inlineStr">
        <is>
          <t>Valor estimado (R$)</t>
        </is>
      </c>
      <c r="L5" s="4" t="inlineStr">
        <is>
          <t>Observações</t>
        </is>
      </c>
    </row>
    <row r="6">
      <c r="A6" t="inlineStr">
        <is>
          <t>01/06/2026</t>
        </is>
      </c>
      <c r="B6" t="inlineStr">
        <is>
          <t>Maria Souza</t>
        </is>
      </c>
      <c r="C6" t="inlineStr">
        <is>
          <t>(11) 98888-0000</t>
        </is>
      </c>
      <c r="D6" t="inlineStr">
        <is>
          <t>Instagram</t>
        </is>
      </c>
      <c r="E6" t="inlineStr">
        <is>
          <t>Implante</t>
        </is>
      </c>
      <c r="F6" t="inlineStr">
        <is>
          <t>Em contato</t>
        </is>
      </c>
      <c r="G6" t="inlineStr">
        <is>
          <t>Enviar valores</t>
        </is>
      </c>
      <c r="H6" t="inlineStr">
        <is>
          <t>03/06/2026</t>
        </is>
      </c>
      <c r="I6" t="inlineStr">
        <is>
          <t>Recepção</t>
        </is>
      </c>
      <c r="J6" t="inlineStr">
        <is>
          <t>Quente</t>
        </is>
      </c>
      <c r="K6" t="inlineStr">
        <is>
          <t>4500</t>
        </is>
      </c>
      <c r="L6" t="inlineStr">
        <is>
          <t>Pediu parcelamento</t>
        </is>
      </c>
    </row>
    <row r="7">
      <c r="A7" t="inlineStr">
        <is>
          <t>01/06/2026</t>
        </is>
      </c>
      <c r="B7" t="inlineStr">
        <is>
          <t>João Lima</t>
        </is>
      </c>
      <c r="C7" t="inlineStr">
        <is>
          <t>(11) 97777-0000</t>
        </is>
      </c>
      <c r="D7" t="inlineStr">
        <is>
          <t>Google Ads</t>
        </is>
      </c>
      <c r="E7" t="inlineStr">
        <is>
          <t>Limpeza</t>
        </is>
      </c>
      <c r="F7" t="inlineStr">
        <is>
          <t>Consulta agendada</t>
        </is>
      </c>
      <c r="G7" t="inlineStr">
        <is>
          <t>Confirmar consulta</t>
        </is>
      </c>
      <c r="H7" t="inlineStr">
        <is>
          <t>02/06/2026</t>
        </is>
      </c>
      <c r="I7" t="inlineStr">
        <is>
          <t>Recepção</t>
        </is>
      </c>
      <c r="J7" t="inlineStr">
        <is>
          <t>Agendado</t>
        </is>
      </c>
      <c r="K7" t="inlineStr">
        <is>
          <t>300</t>
        </is>
      </c>
      <c r="L7" t="inlineStr">
        <is>
          <t>Primeira vez</t>
        </is>
      </c>
    </row>
    <row r="8">
      <c r="A8" t="inlineStr">
        <is>
          <t>02/06/2026</t>
        </is>
      </c>
      <c r="B8" t="inlineStr">
        <is>
          <t>Ana Paula</t>
        </is>
      </c>
      <c r="C8" t="inlineStr">
        <is>
          <t>(11) 96666-0000</t>
        </is>
      </c>
      <c r="D8" t="inlineStr">
        <is>
          <t>Indicação</t>
        </is>
      </c>
      <c r="E8" t="inlineStr">
        <is>
          <t>Clareamento</t>
        </is>
      </c>
      <c r="F8" t="inlineStr">
        <is>
          <t>Novo</t>
        </is>
      </c>
      <c r="G8" t="inlineStr">
        <is>
          <t>Fazer 1º contato</t>
        </is>
      </c>
      <c r="H8" t="inlineStr">
        <is>
          <t>02/06/2026</t>
        </is>
      </c>
      <c r="I8" t="inlineStr">
        <is>
          <t>Recepção</t>
        </is>
      </c>
      <c r="J8" t="inlineStr">
        <is>
          <t>Novo</t>
        </is>
      </c>
      <c r="K8" t="inlineStr">
        <is>
          <t>800</t>
        </is>
      </c>
      <c r="L8" t="inlineStr">
        <is>
          <t>Indicada pela Maria</t>
        </is>
      </c>
    </row>
  </sheetData>
  <dataValidations count="3">
    <dataValidation sqref="F6:F200" showDropDown="0" showInputMessage="0" showErrorMessage="0" allowBlank="1" type="list">
      <formula1>"Novo,Em contato,Consulta agendada,Compareceu,Tratamento fechado,Perdido"</formula1>
    </dataValidation>
    <dataValidation sqref="J6:J200" showDropDown="0" showInputMessage="0" showErrorMessage="0" allowBlank="1" type="list">
      <formula1>"Novo,Quente,Morno,Frio,Agendado,Fechado,Perdido"</formula1>
    </dataValidation>
    <dataValidation sqref="D6:D200" showDropDown="0" showInputMessage="0" showErrorMessage="0" allowBlank="1" type="list">
      <formula1>"Instagram,Google Ads,Facebook,Site,WhatsApp,Indicação,Outro"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</cols>
  <sheetData>
    <row r="1">
      <c r="A1" s="1" t="inlineStr">
        <is>
          <t>Resumo do mês</t>
        </is>
      </c>
    </row>
    <row r="2">
      <c r="A2" s="2" t="inlineStr">
        <is>
          <t>Acompanhe os números do seu atendimento</t>
        </is>
      </c>
    </row>
    <row r="3">
      <c r="A3" s="3" t="inlineStr">
        <is>
          <t>SaudeCRM — CRM com WhatsApp para clínicas · lp.saudecrm.com</t>
        </is>
      </c>
    </row>
    <row r="5">
      <c r="A5" s="5" t="inlineStr">
        <is>
          <t>Leads recebidos no mês</t>
        </is>
      </c>
      <c r="B5">
        <f>COUNTA('Controle de Leads'!B6:B200)</f>
        <v/>
      </c>
    </row>
    <row r="6">
      <c r="A6" s="5" t="inlineStr">
        <is>
          <t>Consultas agendadas</t>
        </is>
      </c>
      <c r="B6">
        <f>COUNTIF('Controle de Leads'!F6:F200,"Consulta agendada")</f>
        <v/>
      </c>
    </row>
    <row r="7">
      <c r="A7" s="5" t="inlineStr">
        <is>
          <t>Tratamentos fechados</t>
        </is>
      </c>
      <c r="B7">
        <f>COUNTIF('Controle de Leads'!F6:F200,"Tratamento fechado")</f>
        <v/>
      </c>
    </row>
    <row r="8">
      <c r="A8" s="5" t="inlineStr">
        <is>
          <t>Leads perdidos</t>
        </is>
      </c>
      <c r="B8">
        <f>COUNTIF('Controle de Leads'!F6:F200,"Perdido")</f>
        <v/>
      </c>
    </row>
    <row r="9">
      <c r="A9" s="5" t="inlineStr">
        <is>
          <t>Taxa de conversão (fechado / leads)</t>
        </is>
      </c>
      <c r="B9" s="6">
        <f>IFERROR(B8/B5,0)</f>
        <v/>
      </c>
    </row>
    <row r="10">
      <c r="A10" s="5" t="inlineStr">
        <is>
          <t>Valor estimado em negociação (R$)</t>
        </is>
      </c>
      <c r="B10">
        <f>SUM('Controle de Leads'!K6:K200)</f>
        <v/>
      </c>
    </row>
    <row r="13">
      <c r="A13" s="7" t="inlineStr">
        <is>
          <t>Cansou de planilha? O SaudeCRM faz isso automático, integrado ao WhatsApp.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2026-06-14T19:17:41Z</dcterms:created>
  <dcterms:modified xmlns:dcterms="http://purl.org/dc/terms/" xmlns:xsi="http://www.w3.org/2001/XMLSchema-instance" xsi:type="dcterms:W3CDTF">2026-06-14T19:17:41Z</dcterms:modified>
</cp:coreProperties>
</file>