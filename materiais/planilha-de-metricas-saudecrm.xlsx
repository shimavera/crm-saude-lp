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055FE"/>
      <sz val="16"/>
    </font>
    <font>
      <i val="1"/>
      <color rgb="005A6472"/>
      <sz val="10"/>
    </font>
    <font>
      <color rgb="005A6472"/>
      <sz val="8"/>
    </font>
    <font>
      <name val="Calibri"/>
      <b val="1"/>
      <color rgb="00FFFFFF"/>
      <sz val="10"/>
    </font>
    <font>
      <b val="1"/>
      <sz val="10"/>
    </font>
    <font>
      <i val="1"/>
      <color rgb="005A6472"/>
      <sz val="9"/>
    </font>
    <font>
      <i val="1"/>
      <color rgb="000055FE"/>
      <sz val="10"/>
    </font>
  </fonts>
  <fills count="4">
    <fill>
      <patternFill/>
    </fill>
    <fill>
      <patternFill patternType="gray125"/>
    </fill>
    <fill>
      <patternFill patternType="solid">
        <fgColor rgb="000055FE"/>
      </patternFill>
    </fill>
    <fill>
      <patternFill patternType="solid">
        <fgColor rgb="00EEF3FF"/>
      </patternFill>
    </fill>
  </fills>
  <borders count="3">
    <border>
      <left/>
      <right/>
      <top/>
      <bottom/>
      <diagonal/>
    </border>
    <border>
      <bottom style="thin">
        <color rgb="00BEC8D8"/>
      </bottom>
    </border>
    <border>
      <right style="hair">
        <color rgb="00D4DBE8"/>
      </right>
      <bottom style="hair">
        <color rgb="00D4DB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2" pivotButton="0" quotePrefix="0" xfId="0"/>
    <xf numFmtId="164" fontId="0" fillId="3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Painel de Indicadores da Clínica</t>
        </is>
      </c>
    </row>
    <row r="2">
      <c r="A2" s="2" t="inlineStr">
        <is>
          <t>Preencha os campos em azul e acompanhe seus números mês a mês</t>
        </is>
      </c>
    </row>
    <row r="3">
      <c r="A3" s="3" t="inlineStr">
        <is>
          <t>SaudeCRM — CRM com WhatsApp para clínicas · lp.saudecrm.com</t>
        </is>
      </c>
    </row>
    <row r="5">
      <c r="A5" s="4" t="inlineStr">
        <is>
          <t>Indicador</t>
        </is>
      </c>
      <c r="B5" s="4" t="inlineStr">
        <is>
          <t>Como calcular</t>
        </is>
      </c>
      <c r="C5" s="4" t="inlineStr">
        <is>
          <t>Jan</t>
        </is>
      </c>
      <c r="D5" s="4" t="inlineStr">
        <is>
          <t>Fev</t>
        </is>
      </c>
      <c r="E5" s="4" t="inlineStr">
        <is>
          <t>Mar</t>
        </is>
      </c>
      <c r="F5" s="4" t="inlineStr">
        <is>
          <t>Abr</t>
        </is>
      </c>
      <c r="G5" s="4" t="inlineStr">
        <is>
          <t>Mai</t>
        </is>
      </c>
      <c r="H5" s="4" t="inlineStr">
        <is>
          <t>Jun</t>
        </is>
      </c>
    </row>
    <row r="6">
      <c r="A6" s="5" t="inlineStr">
        <is>
          <t>Investimento em tráfego (R$)</t>
        </is>
      </c>
      <c r="B6" s="6" t="inlineStr">
        <is>
          <t>Total gasto em anúncios</t>
        </is>
      </c>
      <c r="C6" s="7" t="n"/>
      <c r="D6" s="7" t="n"/>
      <c r="E6" s="7" t="n"/>
      <c r="F6" s="7" t="n"/>
      <c r="G6" s="7" t="n"/>
      <c r="H6" s="7" t="n"/>
    </row>
    <row r="7">
      <c r="A7" s="5" t="inlineStr">
        <is>
          <t>Leads recebidos</t>
        </is>
      </c>
      <c r="B7" s="6" t="inlineStr">
        <is>
          <t>Soma de todos os contatos novos</t>
        </is>
      </c>
      <c r="C7" s="7" t="n"/>
      <c r="D7" s="7" t="n"/>
      <c r="E7" s="7" t="n"/>
      <c r="F7" s="7" t="n"/>
      <c r="G7" s="7" t="n"/>
      <c r="H7" s="7" t="n"/>
    </row>
    <row r="8">
      <c r="A8" s="5" t="inlineStr">
        <is>
          <t>Custo por lead (R$)</t>
        </is>
      </c>
      <c r="B8" s="6" t="inlineStr">
        <is>
          <t>Investimento ÷ Leads</t>
        </is>
      </c>
      <c r="C8" s="7">
        <f>IFERROR(C6/C7,0)</f>
        <v/>
      </c>
      <c r="D8" s="7">
        <f>IFERROR(D6/D7,0)</f>
        <v/>
      </c>
      <c r="E8" s="7">
        <f>IFERROR(E6/E7,0)</f>
        <v/>
      </c>
      <c r="F8" s="7">
        <f>IFERROR(F6/F7,0)</f>
        <v/>
      </c>
      <c r="G8" s="7">
        <f>IFERROR(G6/G7,0)</f>
        <v/>
      </c>
      <c r="H8" s="7">
        <f>IFERROR(H6/H7,0)</f>
        <v/>
      </c>
    </row>
    <row r="9">
      <c r="A9" s="5" t="inlineStr">
        <is>
          <t>Consultas agendadas</t>
        </is>
      </c>
      <c r="B9" s="6" t="inlineStr">
        <is>
          <t>Leads que marcaram consulta</t>
        </is>
      </c>
      <c r="C9" s="7" t="n"/>
      <c r="D9" s="7" t="n"/>
      <c r="E9" s="7" t="n"/>
      <c r="F9" s="7" t="n"/>
      <c r="G9" s="7" t="n"/>
      <c r="H9" s="7" t="n"/>
    </row>
    <row r="10">
      <c r="A10" s="5" t="inlineStr">
        <is>
          <t>Taxa lead → consulta</t>
        </is>
      </c>
      <c r="B10" s="6" t="inlineStr">
        <is>
          <t>Consultas ÷ Leads</t>
        </is>
      </c>
      <c r="C10" s="8">
        <f>IFERROR(C9/C7,0)</f>
        <v/>
      </c>
      <c r="D10" s="8">
        <f>IFERROR(D9/D7,0)</f>
        <v/>
      </c>
      <c r="E10" s="8">
        <f>IFERROR(E9/E7,0)</f>
        <v/>
      </c>
      <c r="F10" s="8">
        <f>IFERROR(F9/F7,0)</f>
        <v/>
      </c>
      <c r="G10" s="8">
        <f>IFERROR(G9/G7,0)</f>
        <v/>
      </c>
      <c r="H10" s="8">
        <f>IFERROR(H9/H7,0)</f>
        <v/>
      </c>
    </row>
    <row r="11">
      <c r="A11" s="5" t="inlineStr">
        <is>
          <t>Comparecimentos</t>
        </is>
      </c>
      <c r="B11" s="6" t="inlineStr">
        <is>
          <t>Quantos compareceram</t>
        </is>
      </c>
      <c r="C11" s="7" t="n"/>
      <c r="D11" s="7" t="n"/>
      <c r="E11" s="7" t="n"/>
      <c r="F11" s="7" t="n"/>
      <c r="G11" s="7" t="n"/>
      <c r="H11" s="7" t="n"/>
    </row>
    <row r="12">
      <c r="A12" s="5" t="inlineStr">
        <is>
          <t>Taxa de no-show</t>
        </is>
      </c>
      <c r="B12" s="6" t="inlineStr">
        <is>
          <t>1 - (Comparecimentos ÷ Consultas)</t>
        </is>
      </c>
      <c r="C12" s="8">
        <f>IFERROR(1-C11/C9,0)</f>
        <v/>
      </c>
      <c r="D12" s="8">
        <f>IFERROR(1-D11/D9,0)</f>
        <v/>
      </c>
      <c r="E12" s="8">
        <f>IFERROR(1-E11/E9,0)</f>
        <v/>
      </c>
      <c r="F12" s="8">
        <f>IFERROR(1-F11/F9,0)</f>
        <v/>
      </c>
      <c r="G12" s="8">
        <f>IFERROR(1-G11/G9,0)</f>
        <v/>
      </c>
      <c r="H12" s="8">
        <f>IFERROR(1-H11/H9,0)</f>
        <v/>
      </c>
    </row>
    <row r="13">
      <c r="A13" s="5" t="inlineStr">
        <is>
          <t>Tratamentos fechados</t>
        </is>
      </c>
      <c r="B13" s="6" t="inlineStr">
        <is>
          <t>Quantos fecharam tratamento</t>
        </is>
      </c>
      <c r="C13" s="7" t="n"/>
      <c r="D13" s="7" t="n"/>
      <c r="E13" s="7" t="n"/>
      <c r="F13" s="7" t="n"/>
      <c r="G13" s="7" t="n"/>
      <c r="H13" s="7" t="n"/>
    </row>
    <row r="14">
      <c r="A14" s="5" t="inlineStr">
        <is>
          <t>Taxa de conversão final</t>
        </is>
      </c>
      <c r="B14" s="6" t="inlineStr">
        <is>
          <t>Fechados ÷ Leads</t>
        </is>
      </c>
      <c r="C14" s="8">
        <f>IFERROR(C13/C7,0)</f>
        <v/>
      </c>
      <c r="D14" s="8">
        <f>IFERROR(D13/D7,0)</f>
        <v/>
      </c>
      <c r="E14" s="8">
        <f>IFERROR(E13/E7,0)</f>
        <v/>
      </c>
      <c r="F14" s="8">
        <f>IFERROR(F13/F7,0)</f>
        <v/>
      </c>
      <c r="G14" s="8">
        <f>IFERROR(G13/G7,0)</f>
        <v/>
      </c>
      <c r="H14" s="8">
        <f>IFERROR(H13/H7,0)</f>
        <v/>
      </c>
    </row>
    <row r="15">
      <c r="A15" s="5" t="inlineStr">
        <is>
          <t>Faturamento (R$)</t>
        </is>
      </c>
      <c r="B15" s="6" t="inlineStr">
        <is>
          <t>Receita do mês</t>
        </is>
      </c>
      <c r="C15" s="7" t="n"/>
      <c r="D15" s="7" t="n"/>
      <c r="E15" s="7" t="n"/>
      <c r="F15" s="7" t="n"/>
      <c r="G15" s="7" t="n"/>
      <c r="H15" s="7" t="n"/>
    </row>
    <row r="16">
      <c r="A16" s="5" t="inlineStr">
        <is>
          <t>Ticket médio (R$)</t>
        </is>
      </c>
      <c r="B16" s="6" t="inlineStr">
        <is>
          <t>Faturamento ÷ Fechados</t>
        </is>
      </c>
      <c r="C16" s="7">
        <f>IFERROR(C15/C13,0)</f>
        <v/>
      </c>
      <c r="D16" s="7">
        <f>IFERROR(D15/D13,0)</f>
        <v/>
      </c>
      <c r="E16" s="7">
        <f>IFERROR(E15/E13,0)</f>
        <v/>
      </c>
      <c r="F16" s="7">
        <f>IFERROR(F15/F13,0)</f>
        <v/>
      </c>
      <c r="G16" s="7">
        <f>IFERROR(G15/G13,0)</f>
        <v/>
      </c>
      <c r="H16" s="7">
        <f>IFERROR(H15/H13,0)</f>
        <v/>
      </c>
    </row>
    <row r="17">
      <c r="A17" s="5" t="inlineStr">
        <is>
          <t>Custo por paciente (R$)</t>
        </is>
      </c>
      <c r="B17" s="6" t="inlineStr">
        <is>
          <t>Investimento ÷ Fechados</t>
        </is>
      </c>
      <c r="C17" s="7">
        <f>IFERROR(C6/C13,0)</f>
        <v/>
      </c>
      <c r="D17" s="7">
        <f>IFERROR(D6/D13,0)</f>
        <v/>
      </c>
      <c r="E17" s="7">
        <f>IFERROR(E6/E13,0)</f>
        <v/>
      </c>
      <c r="F17" s="7">
        <f>IFERROR(F6/F13,0)</f>
        <v/>
      </c>
      <c r="G17" s="7">
        <f>IFERROR(G6/G13,0)</f>
        <v/>
      </c>
      <c r="H17" s="7">
        <f>IFERROR(H6/H13,0)</f>
        <v/>
      </c>
    </row>
    <row r="20">
      <c r="A20" s="6" t="inlineStr">
        <is>
          <t>Campos em azul = você preenche. Os demais se calculam sozinhos.</t>
        </is>
      </c>
    </row>
    <row r="21">
      <c r="A21" s="9" t="inlineStr">
        <is>
          <t>O SaudeCRM calcula esses indicadores automaticamente, sem digitar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2026-06-14T19:17:41Z</dcterms:created>
  <dcterms:modified xmlns:dcterms="http://purl.org/dc/terms/" xmlns:xsi="http://www.w3.org/2001/XMLSchema-instance" xsi:type="dcterms:W3CDTF">2026-06-14T19:17:41Z</dcterms:modified>
</cp:coreProperties>
</file>